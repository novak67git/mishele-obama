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fRPCalFVIfHJddS900gDaY1egmpYEoO/TeYbET0sdUU="/>
    </ext>
  </extLst>
</workbook>
</file>

<file path=xl/sharedStrings.xml><?xml version="1.0" encoding="utf-8"?>
<sst xmlns="http://schemas.openxmlformats.org/spreadsheetml/2006/main" count="13" uniqueCount="12">
  <si>
    <t>тркач</t>
  </si>
  <si>
    <t>време 1</t>
  </si>
  <si>
    <t>време 2</t>
  </si>
  <si>
    <t>време 3</t>
  </si>
  <si>
    <t>време 4</t>
  </si>
  <si>
    <t>просек</t>
  </si>
  <si>
    <t>брзина 1</t>
  </si>
  <si>
    <t>брзина 2</t>
  </si>
  <si>
    <t>брзина 3</t>
  </si>
  <si>
    <t>брзина 4</t>
  </si>
  <si>
    <t>минимум</t>
  </si>
  <si>
    <t>максимум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</si>
</sst>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F7F7F"/>
        <bgColor rgb="FF7F7F7F"/>
      </patternFill>
    </fill>
    <fill>
      <patternFill patternType="solid">
        <fgColor rgb="FFB6DDE8"/>
        <bgColor rgb="FFB6DDE8"/>
      </patternFill>
    </fill>
    <fill>
      <patternFill patternType="solid">
        <fgColor rgb="FFFABF8F"/>
        <bgColor rgb="FFFABF8F"/>
      </patternFill>
    </fill>
    <fill>
      <patternFill patternType="solid">
        <fgColor rgb="FFD99594"/>
        <bgColor rgb="FFD99594"/>
      </patternFill>
    </fill>
    <fill>
      <patternFill patternType="solid">
        <fgColor rgb="FFC2D69B"/>
        <bgColor rgb="FFC2D69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0" fontId="2" numFmtId="0" xfId="0" applyBorder="1" applyFont="1"/>
    <xf borderId="1" fillId="4" fontId="2" numFmtId="164" xfId="0" applyBorder="1" applyFill="1" applyFont="1" applyNumberFormat="1"/>
    <xf borderId="1" fillId="0" fontId="2" numFmtId="164" xfId="0" applyBorder="1" applyFont="1" applyNumberFormat="1"/>
    <xf borderId="1" fillId="5" fontId="2" numFmtId="0" xfId="0" applyBorder="1" applyFill="1" applyFont="1"/>
    <xf borderId="1" fillId="5" fontId="2" numFmtId="2" xfId="0" applyBorder="1" applyFont="1" applyNumberFormat="1"/>
    <xf borderId="1" fillId="5" fontId="2" numFmtId="164" xfId="0" applyBorder="1" applyFont="1" applyNumberFormat="1"/>
    <xf borderId="1" fillId="6" fontId="2" numFmtId="0" xfId="0" applyBorder="1" applyFill="1" applyFont="1"/>
    <xf borderId="1" fillId="6" fontId="2" numFmtId="2" xfId="0" applyBorder="1" applyFont="1" applyNumberFormat="1"/>
    <xf borderId="1" fillId="6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5" width="9.14"/>
    <col customWidth="1" min="6" max="6" width="8.43"/>
    <col customWidth="1" min="7" max="10" width="10.29"/>
    <col customWidth="1" min="11" max="11" width="8.43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</v>
      </c>
    </row>
    <row r="2" ht="14.25" customHeight="1">
      <c r="A2" s="2">
        <v>1023.0</v>
      </c>
      <c r="B2" s="3">
        <v>45.34</v>
      </c>
      <c r="C2" s="3">
        <v>45.66</v>
      </c>
      <c r="D2" s="3">
        <v>45.65</v>
      </c>
      <c r="E2" s="3">
        <v>46.21</v>
      </c>
      <c r="F2" s="4">
        <f t="shared" ref="F2:F9" si="2">AVERAGE(B2:E2)</f>
        <v>45.715</v>
      </c>
      <c r="G2" s="5">
        <f t="shared" ref="G2:J2" si="1">400/B2</f>
        <v>8.822232025</v>
      </c>
      <c r="H2" s="5">
        <f t="shared" si="1"/>
        <v>8.760402979</v>
      </c>
      <c r="I2" s="5">
        <f t="shared" si="1"/>
        <v>8.762322015</v>
      </c>
      <c r="J2" s="5">
        <f t="shared" si="1"/>
        <v>8.656135036</v>
      </c>
      <c r="K2" s="4">
        <f t="shared" ref="K2:K9" si="4">AVERAGE(G2:J2)</f>
        <v>8.750273014</v>
      </c>
    </row>
    <row r="3" ht="14.25" customHeight="1">
      <c r="A3" s="2">
        <v>2013.0</v>
      </c>
      <c r="B3" s="3">
        <v>46.54</v>
      </c>
      <c r="C3" s="3">
        <v>45.87</v>
      </c>
      <c r="D3" s="3">
        <v>47.12</v>
      </c>
      <c r="E3" s="3">
        <v>47.33</v>
      </c>
      <c r="F3" s="4">
        <f t="shared" si="2"/>
        <v>46.715</v>
      </c>
      <c r="G3" s="5">
        <f t="shared" ref="G3:J3" si="3">400/B3</f>
        <v>8.594757198</v>
      </c>
      <c r="H3" s="5">
        <f t="shared" si="3"/>
        <v>8.72029649</v>
      </c>
      <c r="I3" s="5">
        <f t="shared" si="3"/>
        <v>8.488964346</v>
      </c>
      <c r="J3" s="5">
        <f t="shared" si="3"/>
        <v>8.451299387</v>
      </c>
      <c r="K3" s="4">
        <f t="shared" si="4"/>
        <v>8.563829355</v>
      </c>
    </row>
    <row r="4" ht="14.25" customHeight="1">
      <c r="A4" s="2">
        <v>3321.0</v>
      </c>
      <c r="B4" s="3">
        <v>45.89</v>
      </c>
      <c r="C4" s="3">
        <v>46.11</v>
      </c>
      <c r="D4" s="3">
        <v>46.22</v>
      </c>
      <c r="E4" s="3">
        <v>46.12</v>
      </c>
      <c r="F4" s="4">
        <f t="shared" si="2"/>
        <v>46.085</v>
      </c>
      <c r="G4" s="5">
        <f t="shared" ref="G4:J4" si="5">400/B4</f>
        <v>8.716495969</v>
      </c>
      <c r="H4" s="5">
        <f t="shared" si="5"/>
        <v>8.674907829</v>
      </c>
      <c r="I4" s="5">
        <f t="shared" si="5"/>
        <v>8.654262224</v>
      </c>
      <c r="J4" s="5">
        <f t="shared" si="5"/>
        <v>8.673026886</v>
      </c>
      <c r="K4" s="4">
        <f t="shared" si="4"/>
        <v>8.679673227</v>
      </c>
    </row>
    <row r="5" ht="14.25" customHeight="1">
      <c r="A5" s="2">
        <v>3343.0</v>
      </c>
      <c r="B5" s="3">
        <v>47.54</v>
      </c>
      <c r="C5" s="3">
        <v>48.87</v>
      </c>
      <c r="D5" s="3">
        <v>47.67</v>
      </c>
      <c r="E5" s="3">
        <v>47.55</v>
      </c>
      <c r="F5" s="4">
        <f t="shared" si="2"/>
        <v>47.9075</v>
      </c>
      <c r="G5" s="5">
        <f t="shared" ref="G5:J5" si="6">400/B5</f>
        <v>8.413967186</v>
      </c>
      <c r="H5" s="5">
        <f t="shared" si="6"/>
        <v>8.184980561</v>
      </c>
      <c r="I5" s="5">
        <f t="shared" si="6"/>
        <v>8.391021607</v>
      </c>
      <c r="J5" s="5">
        <f t="shared" si="6"/>
        <v>8.412197687</v>
      </c>
      <c r="K5" s="4">
        <f t="shared" si="4"/>
        <v>8.35054176</v>
      </c>
    </row>
    <row r="6" ht="14.25" customHeight="1">
      <c r="A6" s="2">
        <v>4591.0</v>
      </c>
      <c r="B6" s="3">
        <v>44.53</v>
      </c>
      <c r="C6" s="3">
        <v>45.32</v>
      </c>
      <c r="D6" s="3">
        <v>45.11</v>
      </c>
      <c r="E6" s="3">
        <v>45.32</v>
      </c>
      <c r="F6" s="4">
        <f t="shared" si="2"/>
        <v>45.07</v>
      </c>
      <c r="G6" s="5">
        <f t="shared" ref="G6:J6" si="7">400/B6</f>
        <v>8.982708287</v>
      </c>
      <c r="H6" s="5">
        <f t="shared" si="7"/>
        <v>8.826125331</v>
      </c>
      <c r="I6" s="5">
        <f t="shared" si="7"/>
        <v>8.867213478</v>
      </c>
      <c r="J6" s="5">
        <f t="shared" si="7"/>
        <v>8.826125331</v>
      </c>
      <c r="K6" s="4">
        <f t="shared" si="4"/>
        <v>8.875543107</v>
      </c>
    </row>
    <row r="7" ht="14.25" customHeight="1">
      <c r="A7" s="2">
        <v>4932.0</v>
      </c>
      <c r="B7" s="3">
        <v>46.41</v>
      </c>
      <c r="C7" s="3">
        <v>44.01</v>
      </c>
      <c r="D7" s="3">
        <v>46.12</v>
      </c>
      <c r="E7" s="3">
        <v>45.45</v>
      </c>
      <c r="F7" s="4">
        <f t="shared" si="2"/>
        <v>45.4975</v>
      </c>
      <c r="G7" s="5">
        <f t="shared" ref="G7:J7" si="8">400/B7</f>
        <v>8.618832148</v>
      </c>
      <c r="H7" s="5">
        <f t="shared" si="8"/>
        <v>9.088843445</v>
      </c>
      <c r="I7" s="5">
        <f t="shared" si="8"/>
        <v>8.673026886</v>
      </c>
      <c r="J7" s="5">
        <f t="shared" si="8"/>
        <v>8.800880088</v>
      </c>
      <c r="K7" s="4">
        <f t="shared" si="4"/>
        <v>8.795395642</v>
      </c>
    </row>
    <row r="8" ht="14.25" customHeight="1">
      <c r="A8" s="2">
        <v>5329.0</v>
      </c>
      <c r="B8" s="3">
        <v>45.76</v>
      </c>
      <c r="C8" s="3">
        <v>46.64</v>
      </c>
      <c r="D8" s="3">
        <v>45.65</v>
      </c>
      <c r="E8" s="3">
        <v>45.67</v>
      </c>
      <c r="F8" s="4">
        <f t="shared" si="2"/>
        <v>45.93</v>
      </c>
      <c r="G8" s="5">
        <f t="shared" ref="G8:J8" si="9">400/B8</f>
        <v>8.741258741</v>
      </c>
      <c r="H8" s="5">
        <f t="shared" si="9"/>
        <v>8.576329331</v>
      </c>
      <c r="I8" s="5">
        <f t="shared" si="9"/>
        <v>8.762322015</v>
      </c>
      <c r="J8" s="5">
        <f t="shared" si="9"/>
        <v>8.758484782</v>
      </c>
      <c r="K8" s="4">
        <f t="shared" si="4"/>
        <v>8.709598717</v>
      </c>
    </row>
    <row r="9" ht="14.25" customHeight="1">
      <c r="A9" s="2">
        <v>6718.0</v>
      </c>
      <c r="B9" s="3">
        <v>49.77</v>
      </c>
      <c r="C9" s="3">
        <v>47.77</v>
      </c>
      <c r="D9" s="3">
        <v>48.88</v>
      </c>
      <c r="E9" s="3">
        <v>47.56</v>
      </c>
      <c r="F9" s="4">
        <f t="shared" si="2"/>
        <v>48.495</v>
      </c>
      <c r="G9" s="5">
        <f t="shared" ref="G9:J9" si="10">400/B9</f>
        <v>8.036970062</v>
      </c>
      <c r="H9" s="5">
        <f t="shared" si="10"/>
        <v>8.373456144</v>
      </c>
      <c r="I9" s="5">
        <f t="shared" si="10"/>
        <v>8.183306056</v>
      </c>
      <c r="J9" s="5">
        <f t="shared" si="10"/>
        <v>8.410428932</v>
      </c>
      <c r="K9" s="4">
        <f t="shared" si="4"/>
        <v>8.251040298</v>
      </c>
    </row>
    <row r="10" ht="14.25" customHeight="1">
      <c r="A10" s="6" t="s">
        <v>10</v>
      </c>
      <c r="B10" s="7">
        <f t="shared" ref="B10:K10" si="11">MIN(B2:B9)</f>
        <v>44.53</v>
      </c>
      <c r="C10" s="7">
        <f t="shared" si="11"/>
        <v>44.01</v>
      </c>
      <c r="D10" s="7">
        <f t="shared" si="11"/>
        <v>45.11</v>
      </c>
      <c r="E10" s="7">
        <f t="shared" si="11"/>
        <v>45.32</v>
      </c>
      <c r="F10" s="8">
        <f t="shared" si="11"/>
        <v>45.07</v>
      </c>
      <c r="G10" s="8">
        <f t="shared" si="11"/>
        <v>8.036970062</v>
      </c>
      <c r="H10" s="8">
        <f t="shared" si="11"/>
        <v>8.184980561</v>
      </c>
      <c r="I10" s="8">
        <f t="shared" si="11"/>
        <v>8.183306056</v>
      </c>
      <c r="J10" s="8">
        <f t="shared" si="11"/>
        <v>8.410428932</v>
      </c>
      <c r="K10" s="8">
        <f t="shared" si="11"/>
        <v>8.251040298</v>
      </c>
    </row>
    <row r="11" ht="14.25" customHeight="1">
      <c r="A11" s="9" t="s">
        <v>11</v>
      </c>
      <c r="B11" s="10">
        <f t="shared" ref="B11:K11" si="12">MAX(B2:B10)</f>
        <v>49.77</v>
      </c>
      <c r="C11" s="10">
        <f t="shared" si="12"/>
        <v>48.87</v>
      </c>
      <c r="D11" s="10">
        <f t="shared" si="12"/>
        <v>48.88</v>
      </c>
      <c r="E11" s="10">
        <f t="shared" si="12"/>
        <v>47.56</v>
      </c>
      <c r="F11" s="11">
        <f t="shared" si="12"/>
        <v>48.495</v>
      </c>
      <c r="G11" s="11">
        <f t="shared" si="12"/>
        <v>8.982708287</v>
      </c>
      <c r="H11" s="11">
        <f t="shared" si="12"/>
        <v>9.088843445</v>
      </c>
      <c r="I11" s="11">
        <f t="shared" si="12"/>
        <v>8.867213478</v>
      </c>
      <c r="J11" s="11">
        <f t="shared" si="12"/>
        <v>8.826125331</v>
      </c>
      <c r="K11" s="11">
        <f t="shared" si="12"/>
        <v>8.875543107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2020-08-02T12:47:50Z</dcterms:created>
  <dc:creator>Petar Radovanović</dc:creator>
</cp:coreProperties>
</file>